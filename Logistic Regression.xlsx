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  <sheet state="visible" name="Iteration-1" sheetId="2" r:id="rId5"/>
    <sheet state="visible" name="Iteration-2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SVdn/mEfEfiLi8b2ywnvZ8tQ5ofoujOFAti1jRSPzIA="/>
    </ext>
  </extLst>
</workbook>
</file>

<file path=xl/sharedStrings.xml><?xml version="1.0" encoding="utf-8"?>
<sst xmlns="http://schemas.openxmlformats.org/spreadsheetml/2006/main" count="55" uniqueCount="29">
  <si>
    <t>i</t>
  </si>
  <si>
    <t>Temperature (x)</t>
  </si>
  <si>
    <t>Y</t>
  </si>
  <si>
    <t>Initialization</t>
  </si>
  <si>
    <t>Update Weights</t>
  </si>
  <si>
    <t>β_0</t>
  </si>
  <si>
    <t>β_0= β_0-αg_0</t>
  </si>
  <si>
    <t>β_1</t>
  </si>
  <si>
    <t>β_1= β_1-αg_1</t>
  </si>
  <si>
    <t>α</t>
  </si>
  <si>
    <t>y</t>
  </si>
  <si>
    <t>Z</t>
  </si>
  <si>
    <t>exp</t>
  </si>
  <si>
    <t>p</t>
  </si>
  <si>
    <t>Error= p-y</t>
  </si>
  <si>
    <t>g_0(Intercept gradient)</t>
  </si>
  <si>
    <t>(p-y)x</t>
  </si>
  <si>
    <t>Slope Gradient (g_1)</t>
  </si>
  <si>
    <t>Updated Model</t>
  </si>
  <si>
    <t>z=0+0.045x</t>
  </si>
  <si>
    <t>z=−0.0026−0.084x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</si>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</sst>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Font="1"/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Sheet4!$A$2:$A$7</c:f>
            </c:numRef>
          </c:xVal>
          <c:yVal>
            <c:numRef>
              <c:f>Sheet4!$C$2:$C$7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856816"/>
        <c:axId val="1779820046"/>
      </c:scatterChart>
      <c:valAx>
        <c:axId val="3248568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9820046"/>
      </c:valAx>
      <c:valAx>
        <c:axId val="1779820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485681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Sheet5!$A$2:$A$21</c:f>
            </c:numRef>
          </c:xVal>
          <c:yVal>
            <c:numRef>
              <c:f>Sheet5!$C$2:$C$21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231737"/>
        <c:axId val="1932593867"/>
      </c:scatterChart>
      <c:valAx>
        <c:axId val="21202317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2593867"/>
      </c:valAx>
      <c:valAx>
        <c:axId val="1932593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0231737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171450</xdr:rowOff>
    </xdr:from>
    <xdr:ext cx="4905375" cy="2981325"/>
    <xdr:graphicFrame>
      <xdr:nvGraphicFramePr>
        <xdr:cNvPr id="2591934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171450</xdr:rowOff>
    </xdr:from>
    <xdr:ext cx="4953000" cy="2981325"/>
    <xdr:graphicFrame>
      <xdr:nvGraphicFramePr>
        <xdr:cNvPr id="121591709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26" width="8.63"/>
  </cols>
  <sheetData>
    <row r="2">
      <c r="A2" s="1" t="s">
        <v>0</v>
      </c>
      <c r="B2" s="1" t="s">
        <v>1</v>
      </c>
      <c r="C2" s="1" t="s">
        <v>2</v>
      </c>
    </row>
    <row r="3">
      <c r="A3" s="1">
        <v>1.0</v>
      </c>
      <c r="B3" s="1">
        <v>40.0</v>
      </c>
      <c r="C3" s="1">
        <v>0.0</v>
      </c>
    </row>
    <row r="4">
      <c r="A4" s="1">
        <v>2.0</v>
      </c>
      <c r="B4" s="1">
        <v>50.0</v>
      </c>
      <c r="C4" s="1">
        <v>0.0</v>
      </c>
    </row>
    <row r="5">
      <c r="A5" s="1">
        <v>3.0</v>
      </c>
      <c r="B5" s="1">
        <v>60.0</v>
      </c>
      <c r="C5" s="1">
        <v>0.0</v>
      </c>
    </row>
    <row r="6">
      <c r="A6" s="1">
        <v>4.0</v>
      </c>
      <c r="B6" s="1">
        <v>70.0</v>
      </c>
      <c r="C6" s="1">
        <v>1.0</v>
      </c>
    </row>
    <row r="7">
      <c r="A7" s="1">
        <v>5.0</v>
      </c>
      <c r="B7" s="1">
        <v>80.0</v>
      </c>
      <c r="C7" s="1">
        <v>1.0</v>
      </c>
    </row>
    <row r="8">
      <c r="A8" s="1">
        <v>6.0</v>
      </c>
      <c r="B8" s="1">
        <v>90.0</v>
      </c>
      <c r="C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2" t="s">
        <v>3</v>
      </c>
      <c r="B2" s="2"/>
      <c r="C2" s="2"/>
      <c r="D2" s="2"/>
      <c r="E2" s="2" t="s">
        <v>4</v>
      </c>
      <c r="F2" s="2"/>
    </row>
    <row r="3">
      <c r="A3" s="2" t="s">
        <v>5</v>
      </c>
      <c r="B3" s="2">
        <v>0.0</v>
      </c>
      <c r="C3" s="2"/>
      <c r="D3" s="2"/>
      <c r="E3" s="2" t="s">
        <v>6</v>
      </c>
      <c r="F3" s="2"/>
    </row>
    <row r="4">
      <c r="A4" s="2" t="s">
        <v>7</v>
      </c>
      <c r="B4" s="2">
        <v>0.0</v>
      </c>
      <c r="C4" s="2"/>
      <c r="D4" s="2"/>
      <c r="E4" s="2" t="s">
        <v>8</v>
      </c>
      <c r="F4" s="2"/>
    </row>
    <row r="5">
      <c r="A5" s="2" t="s">
        <v>9</v>
      </c>
      <c r="B5" s="2">
        <v>0.001</v>
      </c>
      <c r="C5" s="2"/>
      <c r="D5" s="2"/>
      <c r="E5" s="2"/>
      <c r="F5" s="2"/>
    </row>
    <row r="7">
      <c r="A7" s="3" t="s">
        <v>0</v>
      </c>
      <c r="B7" s="3" t="s">
        <v>1</v>
      </c>
      <c r="C7" s="3" t="s">
        <v>10</v>
      </c>
      <c r="D7" s="4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3">
        <v>1.0</v>
      </c>
      <c r="B8" s="3">
        <v>40.0</v>
      </c>
      <c r="C8" s="5">
        <v>0.0</v>
      </c>
      <c r="D8" s="4">
        <f>B3+B4*B8</f>
        <v>0</v>
      </c>
      <c r="E8" s="6">
        <f t="shared" ref="E8:E13" si="1">EXP(-D8)</f>
        <v>1</v>
      </c>
      <c r="F8" s="6">
        <f t="shared" ref="F8:F13" si="2">1/(1+E8)</f>
        <v>0.5</v>
      </c>
      <c r="G8" s="4">
        <f t="shared" ref="G8:G13" si="3">F8-C8</f>
        <v>0.5</v>
      </c>
      <c r="H8" s="4">
        <f>SUM(G8:G13)</f>
        <v>0</v>
      </c>
      <c r="I8" s="4">
        <f t="shared" ref="I8:I13" si="4">G8*B8</f>
        <v>20</v>
      </c>
      <c r="J8" s="4">
        <f>SUM(I8:I13)</f>
        <v>-45</v>
      </c>
      <c r="K8" s="4">
        <f>B3-B5*H8</f>
        <v>0</v>
      </c>
      <c r="L8" s="7">
        <f>B4-B5*J8</f>
        <v>0.045</v>
      </c>
    </row>
    <row r="9">
      <c r="A9" s="3">
        <v>2.0</v>
      </c>
      <c r="B9" s="3">
        <v>50.0</v>
      </c>
      <c r="C9" s="3">
        <v>0.0</v>
      </c>
      <c r="D9" s="4">
        <f>B3+B4*B9</f>
        <v>0</v>
      </c>
      <c r="E9" s="6">
        <f t="shared" si="1"/>
        <v>1</v>
      </c>
      <c r="F9" s="6">
        <f t="shared" si="2"/>
        <v>0.5</v>
      </c>
      <c r="G9" s="4">
        <f t="shared" si="3"/>
        <v>0.5</v>
      </c>
      <c r="H9" s="6"/>
      <c r="I9" s="4">
        <f t="shared" si="4"/>
        <v>25</v>
      </c>
      <c r="J9" s="6"/>
      <c r="K9" s="6"/>
      <c r="L9" s="8"/>
    </row>
    <row r="10">
      <c r="A10" s="3">
        <v>3.0</v>
      </c>
      <c r="B10" s="3">
        <v>60.0</v>
      </c>
      <c r="C10" s="3">
        <v>0.0</v>
      </c>
      <c r="D10" s="4">
        <f>B3+B4*B10</f>
        <v>0</v>
      </c>
      <c r="E10" s="6">
        <f t="shared" si="1"/>
        <v>1</v>
      </c>
      <c r="F10" s="6">
        <f t="shared" si="2"/>
        <v>0.5</v>
      </c>
      <c r="G10" s="4">
        <f t="shared" si="3"/>
        <v>0.5</v>
      </c>
      <c r="H10" s="6"/>
      <c r="I10" s="4">
        <f t="shared" si="4"/>
        <v>30</v>
      </c>
      <c r="J10" s="6"/>
      <c r="K10" s="6"/>
      <c r="L10" s="8"/>
    </row>
    <row r="11">
      <c r="A11" s="3">
        <v>4.0</v>
      </c>
      <c r="B11" s="3">
        <v>70.0</v>
      </c>
      <c r="C11" s="3">
        <v>1.0</v>
      </c>
      <c r="D11" s="4">
        <f>B3+B4*B11</f>
        <v>0</v>
      </c>
      <c r="E11" s="6">
        <f t="shared" si="1"/>
        <v>1</v>
      </c>
      <c r="F11" s="6">
        <f t="shared" si="2"/>
        <v>0.5</v>
      </c>
      <c r="G11" s="4">
        <f t="shared" si="3"/>
        <v>-0.5</v>
      </c>
      <c r="H11" s="6"/>
      <c r="I11" s="4">
        <f t="shared" si="4"/>
        <v>-35</v>
      </c>
      <c r="J11" s="6"/>
      <c r="K11" s="6"/>
      <c r="L11" s="8"/>
    </row>
    <row r="12">
      <c r="A12" s="3">
        <v>5.0</v>
      </c>
      <c r="B12" s="3">
        <v>80.0</v>
      </c>
      <c r="C12" s="3">
        <v>1.0</v>
      </c>
      <c r="D12" s="4">
        <f>B3+B4*B12</f>
        <v>0</v>
      </c>
      <c r="E12" s="6">
        <f t="shared" si="1"/>
        <v>1</v>
      </c>
      <c r="F12" s="6">
        <f t="shared" si="2"/>
        <v>0.5</v>
      </c>
      <c r="G12" s="4">
        <f t="shared" si="3"/>
        <v>-0.5</v>
      </c>
      <c r="H12" s="6"/>
      <c r="I12" s="4">
        <f t="shared" si="4"/>
        <v>-40</v>
      </c>
      <c r="J12" s="6"/>
      <c r="K12" s="6"/>
      <c r="L12" s="8"/>
    </row>
    <row r="13">
      <c r="A13" s="3">
        <v>6.0</v>
      </c>
      <c r="B13" s="3">
        <v>90.0</v>
      </c>
      <c r="C13" s="3">
        <v>1.0</v>
      </c>
      <c r="D13" s="4">
        <f>B3+B4*B13</f>
        <v>0</v>
      </c>
      <c r="E13" s="6">
        <f t="shared" si="1"/>
        <v>1</v>
      </c>
      <c r="F13" s="6">
        <f t="shared" si="2"/>
        <v>0.5</v>
      </c>
      <c r="G13" s="4">
        <f t="shared" si="3"/>
        <v>-0.5</v>
      </c>
      <c r="H13" s="6"/>
      <c r="I13" s="4">
        <f t="shared" si="4"/>
        <v>-45</v>
      </c>
      <c r="J13" s="6"/>
      <c r="K13" s="6"/>
      <c r="L13" s="8"/>
    </row>
    <row r="17">
      <c r="F17" s="9" t="s">
        <v>18</v>
      </c>
      <c r="G17" s="10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8.5"/>
    <col customWidth="1" min="6" max="6" width="20.0"/>
    <col customWidth="1" min="7" max="7" width="22.63"/>
    <col customWidth="1" min="8" max="8" width="24.25"/>
    <col customWidth="1" min="9" max="9" width="17.5"/>
    <col customWidth="1" min="10" max="10" width="12.38"/>
    <col customWidth="1" min="11" max="26" width="8.63"/>
  </cols>
  <sheetData>
    <row r="2">
      <c r="A2" s="10" t="s">
        <v>3</v>
      </c>
      <c r="E2" s="10" t="s">
        <v>4</v>
      </c>
    </row>
    <row r="3">
      <c r="A3" s="11" t="s">
        <v>5</v>
      </c>
      <c r="B3" s="10">
        <v>0.0</v>
      </c>
      <c r="E3" s="11" t="s">
        <v>6</v>
      </c>
    </row>
    <row r="4">
      <c r="A4" s="11" t="s">
        <v>7</v>
      </c>
      <c r="B4" s="10">
        <v>0.045</v>
      </c>
      <c r="E4" s="11" t="s">
        <v>8</v>
      </c>
    </row>
    <row r="5">
      <c r="A5" s="10" t="s">
        <v>9</v>
      </c>
      <c r="B5" s="10">
        <v>0.001</v>
      </c>
    </row>
    <row r="7">
      <c r="A7" s="3" t="s">
        <v>0</v>
      </c>
      <c r="B7" s="3" t="s">
        <v>1</v>
      </c>
      <c r="C7" s="3" t="s">
        <v>10</v>
      </c>
      <c r="D7" s="7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12">
        <v>1.0</v>
      </c>
      <c r="B8" s="12">
        <v>40.0</v>
      </c>
      <c r="C8" s="12">
        <v>0.0</v>
      </c>
      <c r="D8" s="7">
        <f>B3+B4*B8</f>
        <v>1.8</v>
      </c>
      <c r="E8" s="8">
        <f t="shared" ref="E8:E13" si="1">EXP(-D8)</f>
        <v>0.1652988882</v>
      </c>
      <c r="F8" s="8">
        <f t="shared" ref="F8:F13" si="2">1/(1+E8)</f>
        <v>0.8581489351</v>
      </c>
      <c r="G8" s="7">
        <f t="shared" ref="G8:G13" si="3">F8-C8</f>
        <v>0.8581489351</v>
      </c>
      <c r="H8" s="7">
        <f>SUM(G8:G13)</f>
        <v>2.615013809</v>
      </c>
      <c r="I8" s="7">
        <f t="shared" ref="I8:I13" si="4">G8*B8</f>
        <v>34.3259574</v>
      </c>
      <c r="J8" s="7">
        <f>SUM(I8:I13)</f>
        <v>129.2347708</v>
      </c>
      <c r="K8" s="7">
        <f>B3-B5*H8</f>
        <v>-0.002615013809</v>
      </c>
      <c r="L8" s="7">
        <f>B4-B5*J8</f>
        <v>-0.08423477084</v>
      </c>
    </row>
    <row r="9">
      <c r="A9" s="12">
        <v>2.0</v>
      </c>
      <c r="B9" s="12">
        <v>50.0</v>
      </c>
      <c r="C9" s="12">
        <v>0.0</v>
      </c>
      <c r="D9" s="7">
        <f>B3+B4*B9</f>
        <v>2.25</v>
      </c>
      <c r="E9" s="8">
        <f t="shared" si="1"/>
        <v>0.1053992246</v>
      </c>
      <c r="F9" s="8">
        <f t="shared" si="2"/>
        <v>0.9046505351</v>
      </c>
      <c r="G9" s="7">
        <f t="shared" si="3"/>
        <v>0.9046505351</v>
      </c>
      <c r="H9" s="8"/>
      <c r="I9" s="7">
        <f t="shared" si="4"/>
        <v>45.23252676</v>
      </c>
      <c r="J9" s="8"/>
      <c r="K9" s="8"/>
      <c r="L9" s="8"/>
    </row>
    <row r="10">
      <c r="A10" s="12">
        <v>3.0</v>
      </c>
      <c r="B10" s="12">
        <v>60.0</v>
      </c>
      <c r="C10" s="12">
        <v>0.0</v>
      </c>
      <c r="D10" s="7">
        <f>B3+B4*B10</f>
        <v>2.7</v>
      </c>
      <c r="E10" s="8">
        <f t="shared" si="1"/>
        <v>0.06720551274</v>
      </c>
      <c r="F10" s="8">
        <f t="shared" si="2"/>
        <v>0.9370266439</v>
      </c>
      <c r="G10" s="7">
        <f t="shared" si="3"/>
        <v>0.9370266439</v>
      </c>
      <c r="H10" s="8"/>
      <c r="I10" s="7">
        <f t="shared" si="4"/>
        <v>56.22159864</v>
      </c>
      <c r="J10" s="8"/>
      <c r="K10" s="8"/>
      <c r="L10" s="8"/>
    </row>
    <row r="11">
      <c r="A11" s="12">
        <v>4.0</v>
      </c>
      <c r="B11" s="12">
        <v>70.0</v>
      </c>
      <c r="C11" s="12">
        <v>1.0</v>
      </c>
      <c r="D11" s="7">
        <f>B3+B4*B11</f>
        <v>3.15</v>
      </c>
      <c r="E11" s="8">
        <f t="shared" si="1"/>
        <v>0.04285212687</v>
      </c>
      <c r="F11" s="8">
        <f t="shared" si="2"/>
        <v>0.9589087218</v>
      </c>
      <c r="G11" s="7">
        <f t="shared" si="3"/>
        <v>-0.0410912782</v>
      </c>
      <c r="H11" s="8"/>
      <c r="I11" s="7">
        <f t="shared" si="4"/>
        <v>-2.876389474</v>
      </c>
      <c r="J11" s="8"/>
      <c r="K11" s="8"/>
      <c r="L11" s="8"/>
    </row>
    <row r="12">
      <c r="A12" s="12">
        <v>5.0</v>
      </c>
      <c r="B12" s="12">
        <v>80.0</v>
      </c>
      <c r="C12" s="12">
        <v>1.0</v>
      </c>
      <c r="D12" s="7">
        <f>B3+B4*B12</f>
        <v>3.6</v>
      </c>
      <c r="E12" s="8">
        <f t="shared" si="1"/>
        <v>0.02732372245</v>
      </c>
      <c r="F12" s="8">
        <f t="shared" si="2"/>
        <v>0.9734030064</v>
      </c>
      <c r="G12" s="7">
        <f t="shared" si="3"/>
        <v>-0.02659699358</v>
      </c>
      <c r="H12" s="8"/>
      <c r="I12" s="7">
        <f t="shared" si="4"/>
        <v>-2.127759486</v>
      </c>
      <c r="J12" s="8"/>
      <c r="K12" s="8"/>
      <c r="L12" s="8"/>
    </row>
    <row r="13">
      <c r="A13" s="12">
        <v>6.0</v>
      </c>
      <c r="B13" s="12">
        <v>90.0</v>
      </c>
      <c r="C13" s="12">
        <v>1.0</v>
      </c>
      <c r="D13" s="7">
        <f>B3+B4*B13</f>
        <v>4.05</v>
      </c>
      <c r="E13" s="8">
        <f t="shared" si="1"/>
        <v>0.01742237464</v>
      </c>
      <c r="F13" s="8">
        <f t="shared" si="2"/>
        <v>0.9828759667</v>
      </c>
      <c r="G13" s="7">
        <f t="shared" si="3"/>
        <v>-0.01712403332</v>
      </c>
      <c r="H13" s="8"/>
      <c r="I13" s="7">
        <f t="shared" si="4"/>
        <v>-1.541162998</v>
      </c>
      <c r="J13" s="8"/>
      <c r="K13" s="8"/>
      <c r="L13" s="8"/>
    </row>
    <row r="16">
      <c r="G16" s="10" t="s">
        <v>18</v>
      </c>
      <c r="I16" s="10" t="s">
        <v>20</v>
      </c>
    </row>
    <row r="19">
      <c r="F19" s="10" t="s">
        <v>21</v>
      </c>
      <c r="H19" s="10" t="s">
        <v>22</v>
      </c>
    </row>
    <row r="21" ht="15.75" customHeight="1">
      <c r="G21" s="10" t="s">
        <v>23</v>
      </c>
      <c r="H21" s="10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7.88"/>
    <col customWidth="1" min="3" max="3" width="10.63"/>
    <col customWidth="1" min="4" max="26" width="8.63"/>
  </cols>
  <sheetData>
    <row r="1">
      <c r="A1" s="13" t="s">
        <v>25</v>
      </c>
      <c r="B1" s="13" t="s">
        <v>26</v>
      </c>
      <c r="C1" s="13" t="s">
        <v>27</v>
      </c>
    </row>
    <row r="2">
      <c r="A2" s="13">
        <v>30.0</v>
      </c>
      <c r="B2" s="13">
        <v>-6.0</v>
      </c>
      <c r="C2" s="13">
        <v>0.002</v>
      </c>
    </row>
    <row r="3">
      <c r="A3" s="13">
        <v>40.0</v>
      </c>
      <c r="B3" s="13">
        <v>-4.0</v>
      </c>
      <c r="C3" s="13">
        <v>0.018</v>
      </c>
    </row>
    <row r="4">
      <c r="A4" s="13">
        <v>50.0</v>
      </c>
      <c r="B4" s="13">
        <v>-2.0</v>
      </c>
      <c r="C4" s="13">
        <v>0.119</v>
      </c>
    </row>
    <row r="5">
      <c r="A5" s="13">
        <v>60.0</v>
      </c>
      <c r="B5" s="13">
        <v>0.0</v>
      </c>
      <c r="C5" s="13">
        <v>0.5</v>
      </c>
    </row>
    <row r="6">
      <c r="A6" s="13">
        <v>70.0</v>
      </c>
      <c r="B6" s="13">
        <v>2.0</v>
      </c>
      <c r="C6" s="13">
        <v>0.881</v>
      </c>
    </row>
    <row r="7">
      <c r="A7" s="13">
        <v>80.0</v>
      </c>
      <c r="B7" s="13">
        <v>4.0</v>
      </c>
      <c r="C7" s="13">
        <v>0.982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3.0"/>
    <col customWidth="1" min="4" max="26" width="8.63"/>
  </cols>
  <sheetData>
    <row r="1">
      <c r="A1" s="14" t="s">
        <v>25</v>
      </c>
      <c r="B1" s="14" t="s">
        <v>28</v>
      </c>
      <c r="C1" s="14" t="s">
        <v>27</v>
      </c>
    </row>
    <row r="2">
      <c r="A2" s="15">
        <v>30.0</v>
      </c>
      <c r="B2" s="15">
        <v>-6.0</v>
      </c>
      <c r="C2" s="15">
        <v>0.002</v>
      </c>
    </row>
    <row r="3">
      <c r="A3" s="15">
        <v>35.0</v>
      </c>
      <c r="B3" s="15">
        <v>-5.0</v>
      </c>
      <c r="C3" s="15">
        <v>0.007</v>
      </c>
    </row>
    <row r="4">
      <c r="A4" s="15">
        <v>40.0</v>
      </c>
      <c r="B4" s="15">
        <v>-4.0</v>
      </c>
      <c r="C4" s="15">
        <v>0.018</v>
      </c>
    </row>
    <row r="5">
      <c r="A5" s="15">
        <v>45.0</v>
      </c>
      <c r="B5" s="15">
        <v>-3.0</v>
      </c>
      <c r="C5" s="15">
        <v>0.047</v>
      </c>
    </row>
    <row r="6">
      <c r="A6" s="15">
        <v>50.0</v>
      </c>
      <c r="B6" s="15">
        <v>-2.0</v>
      </c>
      <c r="C6" s="15">
        <v>0.119</v>
      </c>
    </row>
    <row r="7">
      <c r="A7" s="15">
        <v>52.0</v>
      </c>
      <c r="B7" s="15">
        <v>-1.6</v>
      </c>
      <c r="C7" s="15">
        <v>0.167</v>
      </c>
    </row>
    <row r="8">
      <c r="A8" s="15">
        <v>54.0</v>
      </c>
      <c r="B8" s="15">
        <v>-1.2</v>
      </c>
      <c r="C8" s="15">
        <v>0.231</v>
      </c>
    </row>
    <row r="9">
      <c r="A9" s="15">
        <v>56.0</v>
      </c>
      <c r="B9" s="15">
        <v>-0.8</v>
      </c>
      <c r="C9" s="15">
        <v>0.31</v>
      </c>
    </row>
    <row r="10">
      <c r="A10" s="15">
        <v>58.0</v>
      </c>
      <c r="B10" s="15">
        <v>-0.4</v>
      </c>
      <c r="C10" s="15">
        <v>0.401</v>
      </c>
    </row>
    <row r="11">
      <c r="A11" s="15">
        <v>60.0</v>
      </c>
      <c r="B11" s="15">
        <v>0.0</v>
      </c>
      <c r="C11" s="15">
        <v>0.5</v>
      </c>
    </row>
    <row r="12">
      <c r="A12" s="15">
        <v>62.0</v>
      </c>
      <c r="B12" s="15">
        <v>0.4</v>
      </c>
      <c r="C12" s="15">
        <v>0.598</v>
      </c>
    </row>
    <row r="13">
      <c r="A13" s="15">
        <v>64.0</v>
      </c>
      <c r="B13" s="15">
        <v>0.8</v>
      </c>
      <c r="C13" s="15">
        <v>0.69</v>
      </c>
    </row>
    <row r="14">
      <c r="A14" s="15">
        <v>66.0</v>
      </c>
      <c r="B14" s="15">
        <v>1.2</v>
      </c>
      <c r="C14" s="15">
        <v>0.769</v>
      </c>
    </row>
    <row r="15">
      <c r="A15" s="15">
        <v>68.0</v>
      </c>
      <c r="B15" s="15">
        <v>1.6</v>
      </c>
      <c r="C15" s="15">
        <v>0.832</v>
      </c>
    </row>
    <row r="16">
      <c r="A16" s="15">
        <v>70.0</v>
      </c>
      <c r="B16" s="15">
        <v>2.0</v>
      </c>
      <c r="C16" s="15">
        <v>0.881</v>
      </c>
    </row>
    <row r="17">
      <c r="A17" s="15">
        <v>72.0</v>
      </c>
      <c r="B17" s="15">
        <v>2.4</v>
      </c>
      <c r="C17" s="15">
        <v>0.917</v>
      </c>
    </row>
    <row r="18">
      <c r="A18" s="15">
        <v>74.0</v>
      </c>
      <c r="B18" s="15">
        <v>2.8</v>
      </c>
      <c r="C18" s="15">
        <v>0.943</v>
      </c>
    </row>
    <row r="19">
      <c r="A19" s="15">
        <v>76.0</v>
      </c>
      <c r="B19" s="15">
        <v>3.2</v>
      </c>
      <c r="C19" s="15">
        <v>0.96</v>
      </c>
    </row>
    <row r="20">
      <c r="A20" s="15">
        <v>78.0</v>
      </c>
      <c r="B20" s="15">
        <v>3.6</v>
      </c>
      <c r="C20" s="15">
        <v>0.973</v>
      </c>
    </row>
    <row r="21" ht="15.75" customHeight="1">
      <c r="A21" s="15">
        <v>80.0</v>
      </c>
      <c r="B21" s="15">
        <v>4.0</v>
      </c>
      <c r="C21" s="15">
        <v>0.982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2026-03-10T04:30:42Z</dcterms:created>
  <dc:creator>PRABHURAJ METIPATIL</dc:creator>
</cp:coreProperties>
</file>